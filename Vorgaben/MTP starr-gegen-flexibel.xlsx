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ter/projects/hr-system/Vorgaben/"/>
    </mc:Choice>
  </mc:AlternateContent>
  <xr:revisionPtr revIDLastSave="0" documentId="8_{E39ECDCB-35FC-1344-8A98-C39391838701}" xr6:coauthVersionLast="47" xr6:coauthVersionMax="47" xr10:uidLastSave="{00000000-0000-0000-0000-000000000000}"/>
  <bookViews>
    <workbookView xWindow="0" yWindow="700" windowWidth="34200" windowHeight="19880" xr2:uid="{0AD8C4DF-07DE-FC4D-8AE7-B1A3C42A679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2" i="1" l="1"/>
  <c r="O41" i="1"/>
  <c r="O38" i="1"/>
  <c r="O37" i="1"/>
  <c r="O36" i="1"/>
  <c r="O35" i="1"/>
  <c r="O34" i="1"/>
  <c r="O31" i="1"/>
  <c r="O30" i="1"/>
  <c r="O29" i="1"/>
  <c r="O28" i="1"/>
  <c r="O27" i="1"/>
  <c r="O24" i="1"/>
  <c r="O23" i="1"/>
  <c r="O22" i="1"/>
  <c r="O21" i="1"/>
  <c r="O20" i="1"/>
  <c r="O42" i="1" s="1"/>
  <c r="P42" i="1" s="1"/>
  <c r="O17" i="1"/>
  <c r="O16" i="1"/>
  <c r="O15" i="1"/>
  <c r="O14" i="1"/>
  <c r="O13" i="1"/>
  <c r="N42" i="1"/>
  <c r="M42" i="1"/>
  <c r="L42" i="1"/>
  <c r="K42" i="1"/>
  <c r="J42" i="1"/>
  <c r="I42" i="1"/>
  <c r="H42" i="1"/>
  <c r="G42" i="1"/>
  <c r="F42" i="1"/>
  <c r="N40" i="1"/>
  <c r="N39" i="1"/>
  <c r="N38" i="1"/>
  <c r="N37" i="1"/>
  <c r="N36" i="1"/>
  <c r="N33" i="1"/>
  <c r="N32" i="1"/>
  <c r="N31" i="1"/>
  <c r="N30" i="1"/>
  <c r="N29" i="1"/>
  <c r="N26" i="1"/>
  <c r="N25" i="1"/>
  <c r="N24" i="1"/>
  <c r="N23" i="1"/>
  <c r="N22" i="1"/>
  <c r="N19" i="1"/>
  <c r="N18" i="1"/>
  <c r="N17" i="1"/>
  <c r="N16" i="1"/>
  <c r="N15" i="1"/>
  <c r="N12" i="1"/>
  <c r="N11" i="1"/>
  <c r="M41" i="1"/>
  <c r="M40" i="1"/>
  <c r="M39" i="1"/>
  <c r="M36" i="1"/>
  <c r="M35" i="1"/>
  <c r="M34" i="1"/>
  <c r="M33" i="1"/>
  <c r="M32" i="1"/>
  <c r="M29" i="1"/>
  <c r="M28" i="1"/>
  <c r="M27" i="1"/>
  <c r="M26" i="1"/>
  <c r="M25" i="1"/>
  <c r="M22" i="1"/>
  <c r="M21" i="1"/>
  <c r="M20" i="1"/>
  <c r="M19" i="1"/>
  <c r="M18" i="1"/>
  <c r="M15" i="1"/>
  <c r="M14" i="1"/>
  <c r="M13" i="1"/>
  <c r="M12" i="1"/>
  <c r="M11" i="1"/>
  <c r="L38" i="1"/>
  <c r="L37" i="1"/>
  <c r="L36" i="1"/>
  <c r="L35" i="1"/>
  <c r="L34" i="1"/>
  <c r="L31" i="1"/>
  <c r="L30" i="1"/>
  <c r="L29" i="1"/>
  <c r="L28" i="1"/>
  <c r="L27" i="1"/>
  <c r="L24" i="1"/>
  <c r="L23" i="1"/>
  <c r="L22" i="1"/>
  <c r="L21" i="1"/>
  <c r="L20" i="1"/>
  <c r="L17" i="1"/>
  <c r="L16" i="1"/>
  <c r="L15" i="1"/>
  <c r="L14" i="1"/>
  <c r="L13" i="1"/>
  <c r="K41" i="1"/>
  <c r="K40" i="1"/>
  <c r="K39" i="1"/>
  <c r="K38" i="1"/>
  <c r="K37" i="1"/>
  <c r="K34" i="1"/>
  <c r="K33" i="1"/>
  <c r="K32" i="1"/>
  <c r="K31" i="1"/>
  <c r="K30" i="1"/>
  <c r="K27" i="1"/>
  <c r="K26" i="1"/>
  <c r="K25" i="1"/>
  <c r="K24" i="1"/>
  <c r="K23" i="1"/>
  <c r="K20" i="1"/>
  <c r="K19" i="1"/>
  <c r="K18" i="1"/>
  <c r="K17" i="1"/>
  <c r="K16" i="1"/>
  <c r="K13" i="1"/>
  <c r="K12" i="1"/>
  <c r="K11" i="1"/>
  <c r="J41" i="1"/>
  <c r="J40" i="1"/>
  <c r="J37" i="1"/>
  <c r="J36" i="1"/>
  <c r="J35" i="1"/>
  <c r="J34" i="1"/>
  <c r="J33" i="1"/>
  <c r="J30" i="1"/>
  <c r="J29" i="1"/>
  <c r="J28" i="1"/>
  <c r="J27" i="1"/>
  <c r="J26" i="1"/>
  <c r="J23" i="1"/>
  <c r="J22" i="1"/>
  <c r="J21" i="1"/>
  <c r="J20" i="1"/>
  <c r="J19" i="1"/>
  <c r="J16" i="1"/>
  <c r="J15" i="1"/>
  <c r="J14" i="1"/>
  <c r="J13" i="1"/>
  <c r="J12" i="1"/>
  <c r="I39" i="1"/>
  <c r="I38" i="1"/>
  <c r="I37" i="1"/>
  <c r="I36" i="1"/>
  <c r="I35" i="1"/>
  <c r="I32" i="1"/>
  <c r="I31" i="1"/>
  <c r="I30" i="1"/>
  <c r="I29" i="1"/>
  <c r="I28" i="1"/>
  <c r="I25" i="1"/>
  <c r="I24" i="1"/>
  <c r="I23" i="1"/>
  <c r="I22" i="1"/>
  <c r="I21" i="1"/>
  <c r="I18" i="1"/>
  <c r="I17" i="1"/>
  <c r="I16" i="1"/>
  <c r="I15" i="1"/>
  <c r="I14" i="1"/>
  <c r="I11" i="1"/>
  <c r="H41" i="1"/>
  <c r="H40" i="1"/>
  <c r="H39" i="1"/>
  <c r="H38" i="1"/>
  <c r="H35" i="1"/>
  <c r="H34" i="1"/>
  <c r="H33" i="1"/>
  <c r="H32" i="1"/>
  <c r="H31" i="1"/>
  <c r="H28" i="1"/>
  <c r="H27" i="1"/>
  <c r="H26" i="1"/>
  <c r="H25" i="1"/>
  <c r="H24" i="1"/>
  <c r="H21" i="1"/>
  <c r="H20" i="1"/>
  <c r="H19" i="1"/>
  <c r="H18" i="1"/>
  <c r="H17" i="1"/>
  <c r="H14" i="1"/>
  <c r="H13" i="1"/>
  <c r="H12" i="1"/>
  <c r="H11" i="1"/>
  <c r="G40" i="1"/>
  <c r="G37" i="1"/>
  <c r="G36" i="1"/>
  <c r="G35" i="1"/>
  <c r="G34" i="1"/>
  <c r="G33" i="1"/>
  <c r="G30" i="1"/>
  <c r="G29" i="1"/>
  <c r="G28" i="1"/>
  <c r="G27" i="1"/>
  <c r="G26" i="1"/>
  <c r="G23" i="1"/>
  <c r="G22" i="1"/>
  <c r="G21" i="1"/>
  <c r="G20" i="1"/>
  <c r="G19" i="1"/>
  <c r="G16" i="1"/>
  <c r="G15" i="1"/>
  <c r="G14" i="1"/>
  <c r="G13" i="1"/>
  <c r="G12" i="1"/>
  <c r="F40" i="1"/>
  <c r="F39" i="1"/>
  <c r="F38" i="1"/>
  <c r="F37" i="1"/>
  <c r="F36" i="1"/>
  <c r="F33" i="1"/>
  <c r="F32" i="1"/>
  <c r="F31" i="1"/>
  <c r="F30" i="1"/>
  <c r="F29" i="1"/>
  <c r="F26" i="1"/>
  <c r="F25" i="1"/>
  <c r="F24" i="1"/>
  <c r="F23" i="1"/>
  <c r="F22" i="1"/>
  <c r="F19" i="1"/>
  <c r="F18" i="1"/>
  <c r="F17" i="1"/>
  <c r="F16" i="1"/>
  <c r="F15" i="1"/>
  <c r="F12" i="1"/>
  <c r="E42" i="1"/>
  <c r="F11" i="1"/>
  <c r="E38" i="1"/>
  <c r="E37" i="1"/>
  <c r="E36" i="1"/>
  <c r="E33" i="1"/>
  <c r="E32" i="1"/>
  <c r="E31" i="1"/>
  <c r="E30" i="1"/>
  <c r="E29" i="1"/>
  <c r="E26" i="1"/>
  <c r="E25" i="1"/>
  <c r="E24" i="1"/>
  <c r="E23" i="1"/>
  <c r="E22" i="1"/>
  <c r="D11" i="1"/>
  <c r="E11" i="1"/>
  <c r="D12" i="1"/>
  <c r="E12" i="1"/>
  <c r="D13" i="1"/>
  <c r="D14" i="1"/>
  <c r="D42" i="1" s="1"/>
  <c r="D15" i="1"/>
  <c r="E15" i="1"/>
  <c r="E16" i="1"/>
  <c r="E17" i="1"/>
  <c r="D18" i="1"/>
  <c r="E18" i="1"/>
  <c r="D19" i="1"/>
  <c r="E19" i="1"/>
  <c r="D20" i="1"/>
  <c r="D21" i="1"/>
  <c r="D22" i="1"/>
  <c r="D25" i="1"/>
  <c r="D26" i="1"/>
  <c r="D27" i="1"/>
  <c r="D28" i="1"/>
  <c r="D29" i="1"/>
  <c r="D32" i="1"/>
  <c r="D33" i="1"/>
  <c r="D34" i="1"/>
  <c r="D35" i="1"/>
  <c r="D36" i="1"/>
  <c r="D39" i="1"/>
  <c r="D40" i="1"/>
  <c r="D41" i="1"/>
  <c r="N7" i="1"/>
  <c r="O6" i="1"/>
  <c r="O7" i="1" s="1"/>
  <c r="N6" i="1"/>
  <c r="M6" i="1"/>
  <c r="M7" i="1" s="1"/>
  <c r="L6" i="1"/>
  <c r="L7" i="1" s="1"/>
  <c r="K6" i="1"/>
  <c r="K7" i="1" s="1"/>
  <c r="J6" i="1"/>
  <c r="J7" i="1" s="1"/>
  <c r="I6" i="1"/>
  <c r="I7" i="1" s="1"/>
  <c r="H6" i="1"/>
  <c r="H7" i="1" s="1"/>
  <c r="G6" i="1"/>
  <c r="G7" i="1" s="1"/>
  <c r="F6" i="1"/>
  <c r="F7" i="1" s="1"/>
  <c r="E6" i="1"/>
  <c r="E7" i="1" s="1"/>
  <c r="D6" i="1"/>
  <c r="D7" i="1" s="1"/>
  <c r="O3" i="1"/>
  <c r="O4" i="1" s="1"/>
  <c r="N3" i="1"/>
  <c r="N4" i="1" s="1"/>
  <c r="M3" i="1"/>
  <c r="M4" i="1" s="1"/>
  <c r="L3" i="1"/>
  <c r="L4" i="1" s="1"/>
  <c r="K3" i="1"/>
  <c r="K4" i="1" s="1"/>
  <c r="J3" i="1"/>
  <c r="J4" i="1" s="1"/>
  <c r="I3" i="1"/>
  <c r="I4" i="1" s="1"/>
  <c r="H3" i="1"/>
  <c r="H4" i="1" s="1"/>
  <c r="G3" i="1"/>
  <c r="G4" i="1" s="1"/>
  <c r="F3" i="1"/>
  <c r="F4" i="1" s="1"/>
  <c r="E3" i="1"/>
  <c r="P3" i="1" s="1"/>
  <c r="D3" i="1"/>
  <c r="D4" i="1" s="1"/>
  <c r="P7" i="1" l="1"/>
  <c r="P6" i="1"/>
  <c r="Q6" i="1" s="1"/>
  <c r="E4" i="1"/>
  <c r="P4" i="1" s="1"/>
  <c r="Q7" i="1" l="1"/>
</calcChain>
</file>

<file path=xl/sharedStrings.xml><?xml version="1.0" encoding="utf-8"?>
<sst xmlns="http://schemas.openxmlformats.org/spreadsheetml/2006/main" count="23" uniqueCount="20">
  <si>
    <t>Starr</t>
  </si>
  <si>
    <t>Stunden/woche</t>
  </si>
  <si>
    <t>*52/12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</si>
  <si>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</si>
  <si>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</si>
  <si>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</si>
  <si>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</si>
  <si>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</si>
  <si>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</si>
  <si>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</si>
  <si>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</si>
  <si>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</si>
  <si>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</si>
  <si>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</si>
  <si>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</si>
  <si>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Flex</t>
  </si>
  <si>
    <t>/7*Tage</t>
  </si>
  <si>
    <t>Tage</t>
  </si>
  <si>
    <t>Lohn</t>
  </si>
  <si>
    <t>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</si>
</sst>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4" fontId="0" fillId="0" borderId="0" xfId="0" applyNumberFormat="1"/>
    <xf numFmtId="0" fontId="0" fillId="2" borderId="0" xfId="0" applyFill="1"/>
    <xf numFmtId="0" fontId="0" fillId="2" borderId="0" xfId="0" quotePrefix="1" applyFill="1"/>
    <xf numFmtId="2" fontId="0" fillId="2" borderId="0" xfId="0" applyNumberFormat="1" applyFill="1"/>
    <xf numFmtId="4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 2013–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E885-1740-4D45-92DE-74EEE4073EA2}">
  <dimension ref="A1:R44"/>
  <sheetViews>
    <sheetView tabSelected="1" workbookViewId="0">
      <selection activeCell="P44" sqref="P44"/>
    </sheetView>
  </sheetViews>
  <sheetFormatPr baseColWidth="10" defaultRowHeight="16" x14ac:dyDescent="0.2"/>
  <cols>
    <col min="2" max="2" width="14.33203125" customWidth="1"/>
  </cols>
  <sheetData>
    <row r="1" spans="1:17" x14ac:dyDescent="0.2">
      <c r="A1" t="s">
        <v>18</v>
      </c>
      <c r="B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7" x14ac:dyDescent="0.2">
      <c r="A2">
        <v>21.66</v>
      </c>
      <c r="B2">
        <v>34</v>
      </c>
    </row>
    <row r="3" spans="1:17" x14ac:dyDescent="0.2">
      <c r="A3" t="s">
        <v>0</v>
      </c>
      <c r="B3" s="1" t="s">
        <v>2</v>
      </c>
      <c r="C3" t="s">
        <v>19</v>
      </c>
      <c r="D3" s="2">
        <f>$B2*52/12</f>
        <v>147.33333333333334</v>
      </c>
      <c r="E3" s="2">
        <f>$B2*52/12</f>
        <v>147.33333333333334</v>
      </c>
      <c r="F3" s="2">
        <f t="shared" ref="F3:O3" si="0">$B2*52/12</f>
        <v>147.33333333333334</v>
      </c>
      <c r="G3" s="2">
        <f t="shared" si="0"/>
        <v>147.33333333333334</v>
      </c>
      <c r="H3" s="2">
        <f t="shared" si="0"/>
        <v>147.33333333333334</v>
      </c>
      <c r="I3" s="2">
        <f t="shared" si="0"/>
        <v>147.33333333333334</v>
      </c>
      <c r="J3" s="2">
        <f t="shared" si="0"/>
        <v>147.33333333333334</v>
      </c>
      <c r="K3" s="2">
        <f t="shared" si="0"/>
        <v>147.33333333333334</v>
      </c>
      <c r="L3" s="2">
        <f t="shared" si="0"/>
        <v>147.33333333333334</v>
      </c>
      <c r="M3" s="2">
        <f t="shared" si="0"/>
        <v>147.33333333333334</v>
      </c>
      <c r="N3" s="2">
        <f t="shared" si="0"/>
        <v>147.33333333333334</v>
      </c>
      <c r="O3" s="2">
        <f t="shared" si="0"/>
        <v>147.33333333333334</v>
      </c>
      <c r="P3" s="2">
        <f>SUM(D3:O3)</f>
        <v>1767.9999999999998</v>
      </c>
    </row>
    <row r="4" spans="1:17" x14ac:dyDescent="0.2">
      <c r="C4" t="s">
        <v>18</v>
      </c>
      <c r="D4" s="2">
        <f>D3*$A2</f>
        <v>3191.2400000000002</v>
      </c>
      <c r="E4" s="2">
        <f t="shared" ref="E4:O4" si="1">E3*$A2</f>
        <v>3191.2400000000002</v>
      </c>
      <c r="F4" s="2">
        <f t="shared" si="1"/>
        <v>3191.2400000000002</v>
      </c>
      <c r="G4" s="2">
        <f t="shared" si="1"/>
        <v>3191.2400000000002</v>
      </c>
      <c r="H4" s="2">
        <f t="shared" si="1"/>
        <v>3191.2400000000002</v>
      </c>
      <c r="I4" s="2">
        <f t="shared" si="1"/>
        <v>3191.2400000000002</v>
      </c>
      <c r="J4" s="2">
        <f t="shared" si="1"/>
        <v>3191.2400000000002</v>
      </c>
      <c r="K4" s="2">
        <f t="shared" si="1"/>
        <v>3191.2400000000002</v>
      </c>
      <c r="L4" s="2">
        <f t="shared" si="1"/>
        <v>3191.2400000000002</v>
      </c>
      <c r="M4" s="2">
        <f t="shared" si="1"/>
        <v>3191.2400000000002</v>
      </c>
      <c r="N4" s="2">
        <f t="shared" si="1"/>
        <v>3191.2400000000002</v>
      </c>
      <c r="O4" s="2">
        <f t="shared" si="1"/>
        <v>3191.2400000000002</v>
      </c>
      <c r="P4" s="2">
        <f>SUM(D4:O4)</f>
        <v>38294.880000000005</v>
      </c>
    </row>
    <row r="5" spans="1:17" x14ac:dyDescent="0.2">
      <c r="B5" t="s">
        <v>17</v>
      </c>
      <c r="D5">
        <v>31</v>
      </c>
      <c r="E5">
        <v>28</v>
      </c>
      <c r="F5">
        <v>31</v>
      </c>
      <c r="G5">
        <v>30</v>
      </c>
      <c r="H5">
        <v>31</v>
      </c>
      <c r="I5">
        <v>30</v>
      </c>
      <c r="J5">
        <v>31</v>
      </c>
      <c r="K5">
        <v>31</v>
      </c>
      <c r="L5">
        <v>30</v>
      </c>
      <c r="M5">
        <v>31</v>
      </c>
      <c r="N5">
        <v>30</v>
      </c>
      <c r="O5">
        <v>31</v>
      </c>
    </row>
    <row r="6" spans="1:17" x14ac:dyDescent="0.2">
      <c r="A6" s="3" t="s">
        <v>15</v>
      </c>
      <c r="B6" s="4" t="s">
        <v>16</v>
      </c>
      <c r="C6" s="3" t="s">
        <v>19</v>
      </c>
      <c r="D6" s="5">
        <f t="shared" ref="D6:O6" si="2">$B2/7*D5</f>
        <v>150.57142857142856</v>
      </c>
      <c r="E6" s="5">
        <f t="shared" si="2"/>
        <v>136</v>
      </c>
      <c r="F6" s="5">
        <f t="shared" si="2"/>
        <v>150.57142857142856</v>
      </c>
      <c r="G6" s="5">
        <f t="shared" si="2"/>
        <v>145.71428571428569</v>
      </c>
      <c r="H6" s="5">
        <f t="shared" si="2"/>
        <v>150.57142857142856</v>
      </c>
      <c r="I6" s="5">
        <f t="shared" si="2"/>
        <v>145.71428571428569</v>
      </c>
      <c r="J6" s="5">
        <f t="shared" si="2"/>
        <v>150.57142857142856</v>
      </c>
      <c r="K6" s="5">
        <f t="shared" si="2"/>
        <v>150.57142857142856</v>
      </c>
      <c r="L6" s="5">
        <f t="shared" si="2"/>
        <v>145.71428571428569</v>
      </c>
      <c r="M6" s="5">
        <f t="shared" si="2"/>
        <v>150.57142857142856</v>
      </c>
      <c r="N6" s="5">
        <f t="shared" si="2"/>
        <v>145.71428571428569</v>
      </c>
      <c r="O6" s="5">
        <f t="shared" si="2"/>
        <v>150.57142857142856</v>
      </c>
      <c r="P6" s="6">
        <f>SUM(D6:O6)</f>
        <v>1772.8571428571427</v>
      </c>
      <c r="Q6" s="6">
        <f>P6-P3</f>
        <v>4.8571428571428896</v>
      </c>
    </row>
    <row r="7" spans="1:17" x14ac:dyDescent="0.2">
      <c r="A7" s="3"/>
      <c r="B7" s="3"/>
      <c r="C7" s="3" t="s">
        <v>18</v>
      </c>
      <c r="D7" s="6">
        <f>D6*$A2</f>
        <v>3261.3771428571426</v>
      </c>
      <c r="E7" s="6">
        <f t="shared" ref="E7:O7" si="3">E6*$A2</f>
        <v>2945.76</v>
      </c>
      <c r="F7" s="6">
        <f t="shared" si="3"/>
        <v>3261.3771428571426</v>
      </c>
      <c r="G7" s="6">
        <f t="shared" si="3"/>
        <v>3156.1714285714284</v>
      </c>
      <c r="H7" s="6">
        <f t="shared" si="3"/>
        <v>3261.3771428571426</v>
      </c>
      <c r="I7" s="6">
        <f t="shared" si="3"/>
        <v>3156.1714285714284</v>
      </c>
      <c r="J7" s="6">
        <f t="shared" si="3"/>
        <v>3261.3771428571426</v>
      </c>
      <c r="K7" s="6">
        <f t="shared" si="3"/>
        <v>3261.3771428571426</v>
      </c>
      <c r="L7" s="6">
        <f t="shared" si="3"/>
        <v>3156.1714285714284</v>
      </c>
      <c r="M7" s="6">
        <f t="shared" si="3"/>
        <v>3261.3771428571426</v>
      </c>
      <c r="N7" s="6">
        <f t="shared" si="3"/>
        <v>3156.1714285714284</v>
      </c>
      <c r="O7" s="6">
        <f t="shared" si="3"/>
        <v>3261.3771428571426</v>
      </c>
      <c r="P7" s="6">
        <f>SUM(D7:O7)</f>
        <v>38400.085714285713</v>
      </c>
      <c r="Q7" s="6">
        <f>P7-P4</f>
        <v>105.20571428570838</v>
      </c>
    </row>
    <row r="11" spans="1:17" x14ac:dyDescent="0.2">
      <c r="C11">
        <v>1</v>
      </c>
      <c r="D11" s="7">
        <f>$B$2/5</f>
        <v>6.8</v>
      </c>
      <c r="E11" s="7">
        <f>$B$2/5</f>
        <v>6.8</v>
      </c>
      <c r="F11" s="7">
        <f>$B$2/5</f>
        <v>6.8</v>
      </c>
      <c r="H11" s="7">
        <f>$B$2/5</f>
        <v>6.8</v>
      </c>
      <c r="I11" s="7">
        <f>$B$2/5</f>
        <v>6.8</v>
      </c>
      <c r="K11" s="7">
        <f>$B$2/5</f>
        <v>6.8</v>
      </c>
      <c r="M11" s="7">
        <f>$B$2/5</f>
        <v>6.8</v>
      </c>
      <c r="N11" s="7">
        <f>$B$2/5</f>
        <v>6.8</v>
      </c>
      <c r="O11" s="7"/>
    </row>
    <row r="12" spans="1:17" x14ac:dyDescent="0.2">
      <c r="C12">
        <v>2</v>
      </c>
      <c r="D12" s="7">
        <f>B$2/5</f>
        <v>6.8</v>
      </c>
      <c r="E12" s="7">
        <f>$B$2/5</f>
        <v>6.8</v>
      </c>
      <c r="F12" s="7">
        <f>$B$2/5</f>
        <v>6.8</v>
      </c>
      <c r="G12" s="7">
        <f>$B$2/5</f>
        <v>6.8</v>
      </c>
      <c r="H12" s="7">
        <f>$B$2/5</f>
        <v>6.8</v>
      </c>
      <c r="J12" s="7">
        <f>$B$2/5</f>
        <v>6.8</v>
      </c>
      <c r="K12" s="7">
        <f>$B$2/5</f>
        <v>6.8</v>
      </c>
      <c r="M12" s="7">
        <f>$B$2/5</f>
        <v>6.8</v>
      </c>
      <c r="N12" s="7">
        <f>$B$2/5</f>
        <v>6.8</v>
      </c>
      <c r="O12" s="7"/>
    </row>
    <row r="13" spans="1:17" x14ac:dyDescent="0.2">
      <c r="C13">
        <v>3</v>
      </c>
      <c r="D13" s="7">
        <f>B$2/5</f>
        <v>6.8</v>
      </c>
      <c r="G13" s="7">
        <f>$B$2/5</f>
        <v>6.8</v>
      </c>
      <c r="H13" s="7">
        <f>$B$2/5</f>
        <v>6.8</v>
      </c>
      <c r="J13" s="7">
        <f>$B$2/5</f>
        <v>6.8</v>
      </c>
      <c r="K13" s="7">
        <f>$B$2/5</f>
        <v>6.8</v>
      </c>
      <c r="L13" s="7">
        <f>$B$2/5</f>
        <v>6.8</v>
      </c>
      <c r="M13" s="7">
        <f>$B$2/5</f>
        <v>6.8</v>
      </c>
      <c r="O13" s="7">
        <f>$B$2/5</f>
        <v>6.8</v>
      </c>
    </row>
    <row r="14" spans="1:17" x14ac:dyDescent="0.2">
      <c r="C14">
        <v>4</v>
      </c>
      <c r="D14" s="7">
        <f>B$2/5</f>
        <v>6.8</v>
      </c>
      <c r="G14" s="7">
        <f>$B$2/5</f>
        <v>6.8</v>
      </c>
      <c r="H14" s="7">
        <f>$B$2/5</f>
        <v>6.8</v>
      </c>
      <c r="I14" s="7">
        <f>$B$2/5</f>
        <v>6.8</v>
      </c>
      <c r="J14" s="7">
        <f>$B$2/5</f>
        <v>6.8</v>
      </c>
      <c r="L14" s="7">
        <f>$B$2/5</f>
        <v>6.8</v>
      </c>
      <c r="M14" s="7">
        <f>$B$2/5</f>
        <v>6.8</v>
      </c>
      <c r="O14" s="7">
        <f>$B$2/5</f>
        <v>6.8</v>
      </c>
    </row>
    <row r="15" spans="1:17" x14ac:dyDescent="0.2">
      <c r="C15">
        <v>5</v>
      </c>
      <c r="D15" s="7">
        <f>B$2/5</f>
        <v>6.8</v>
      </c>
      <c r="E15" s="7">
        <f>$B$2/5</f>
        <v>6.8</v>
      </c>
      <c r="F15" s="7">
        <f>$B$2/5</f>
        <v>6.8</v>
      </c>
      <c r="G15" s="7">
        <f>$B$2/5</f>
        <v>6.8</v>
      </c>
      <c r="H15" s="7"/>
      <c r="I15" s="7">
        <f>$B$2/5</f>
        <v>6.8</v>
      </c>
      <c r="J15" s="7">
        <f>$B$2/5</f>
        <v>6.8</v>
      </c>
      <c r="L15" s="7">
        <f>$B$2/5</f>
        <v>6.8</v>
      </c>
      <c r="M15" s="7">
        <f>$B$2/5</f>
        <v>6.8</v>
      </c>
      <c r="N15" s="7">
        <f>$B$2/5</f>
        <v>6.8</v>
      </c>
      <c r="O15" s="7">
        <f>$B$2/5</f>
        <v>6.8</v>
      </c>
    </row>
    <row r="16" spans="1:17" x14ac:dyDescent="0.2">
      <c r="C16">
        <v>6</v>
      </c>
      <c r="E16" s="7">
        <f>$B$2/5</f>
        <v>6.8</v>
      </c>
      <c r="F16" s="7">
        <f>$B$2/5</f>
        <v>6.8</v>
      </c>
      <c r="G16" s="7">
        <f>$B$2/5</f>
        <v>6.8</v>
      </c>
      <c r="I16" s="7">
        <f>$B$2/5</f>
        <v>6.8</v>
      </c>
      <c r="J16" s="7">
        <f>$B$2/5</f>
        <v>6.8</v>
      </c>
      <c r="K16" s="7">
        <f>$B$2/5</f>
        <v>6.8</v>
      </c>
      <c r="L16" s="7">
        <f>$B$2/5</f>
        <v>6.8</v>
      </c>
      <c r="N16" s="7">
        <f>$B$2/5</f>
        <v>6.8</v>
      </c>
      <c r="O16" s="7">
        <f>$B$2/5</f>
        <v>6.8</v>
      </c>
    </row>
    <row r="17" spans="3:15" x14ac:dyDescent="0.2">
      <c r="C17">
        <v>7</v>
      </c>
      <c r="E17" s="7">
        <f>$B$2/5</f>
        <v>6.8</v>
      </c>
      <c r="F17" s="7">
        <f>$B$2/5</f>
        <v>6.8</v>
      </c>
      <c r="H17" s="7">
        <f>$B$2/5</f>
        <v>6.8</v>
      </c>
      <c r="I17" s="7">
        <f>$B$2/5</f>
        <v>6.8</v>
      </c>
      <c r="K17" s="7">
        <f>$B$2/5</f>
        <v>6.8</v>
      </c>
      <c r="L17" s="7">
        <f>$B$2/5</f>
        <v>6.8</v>
      </c>
      <c r="N17" s="7">
        <f>$B$2/5</f>
        <v>6.8</v>
      </c>
      <c r="O17" s="7">
        <f>$B$2/5</f>
        <v>6.8</v>
      </c>
    </row>
    <row r="18" spans="3:15" x14ac:dyDescent="0.2">
      <c r="C18">
        <v>8</v>
      </c>
      <c r="D18" s="7">
        <f>B$2/5</f>
        <v>6.8</v>
      </c>
      <c r="E18" s="7">
        <f>$B$2/5</f>
        <v>6.8</v>
      </c>
      <c r="F18" s="7">
        <f>$B$2/5</f>
        <v>6.8</v>
      </c>
      <c r="H18" s="7">
        <f>$B$2/5</f>
        <v>6.8</v>
      </c>
      <c r="I18" s="7">
        <f>$B$2/5</f>
        <v>6.8</v>
      </c>
      <c r="K18" s="7">
        <f>$B$2/5</f>
        <v>6.8</v>
      </c>
      <c r="M18" s="7">
        <f>$B$2/5</f>
        <v>6.8</v>
      </c>
      <c r="N18" s="7">
        <f>$B$2/5</f>
        <v>6.8</v>
      </c>
      <c r="O18" s="7"/>
    </row>
    <row r="19" spans="3:15" x14ac:dyDescent="0.2">
      <c r="C19">
        <v>9</v>
      </c>
      <c r="D19" s="7">
        <f>B$2/5</f>
        <v>6.8</v>
      </c>
      <c r="E19" s="7">
        <f>$B$2/5</f>
        <v>6.8</v>
      </c>
      <c r="F19" s="7">
        <f>$B$2/5</f>
        <v>6.8</v>
      </c>
      <c r="G19" s="7">
        <f>$B$2/5</f>
        <v>6.8</v>
      </c>
      <c r="H19" s="7">
        <f>$B$2/5</f>
        <v>6.8</v>
      </c>
      <c r="J19" s="7">
        <f>$B$2/5</f>
        <v>6.8</v>
      </c>
      <c r="K19" s="7">
        <f>$B$2/5</f>
        <v>6.8</v>
      </c>
      <c r="M19" s="7">
        <f>$B$2/5</f>
        <v>6.8</v>
      </c>
      <c r="N19" s="7">
        <f>$B$2/5</f>
        <v>6.8</v>
      </c>
      <c r="O19" s="7"/>
    </row>
    <row r="20" spans="3:15" x14ac:dyDescent="0.2">
      <c r="C20">
        <v>10</v>
      </c>
      <c r="D20" s="7">
        <f>B$2/5</f>
        <v>6.8</v>
      </c>
      <c r="G20" s="7">
        <f>$B$2/5</f>
        <v>6.8</v>
      </c>
      <c r="H20" s="7">
        <f>$B$2/5</f>
        <v>6.8</v>
      </c>
      <c r="J20" s="7">
        <f>$B$2/5</f>
        <v>6.8</v>
      </c>
      <c r="K20" s="7">
        <f>$B$2/5</f>
        <v>6.8</v>
      </c>
      <c r="L20" s="7">
        <f>$B$2/5</f>
        <v>6.8</v>
      </c>
      <c r="M20" s="7">
        <f>$B$2/5</f>
        <v>6.8</v>
      </c>
      <c r="O20" s="7">
        <f>$B$2/5</f>
        <v>6.8</v>
      </c>
    </row>
    <row r="21" spans="3:15" x14ac:dyDescent="0.2">
      <c r="C21">
        <v>11</v>
      </c>
      <c r="D21" s="7">
        <f>B$2/5</f>
        <v>6.8</v>
      </c>
      <c r="G21" s="7">
        <f>$B$2/5</f>
        <v>6.8</v>
      </c>
      <c r="H21" s="7">
        <f>$B$2/5</f>
        <v>6.8</v>
      </c>
      <c r="I21" s="7">
        <f>$B$2/5</f>
        <v>6.8</v>
      </c>
      <c r="J21" s="7">
        <f>$B$2/5</f>
        <v>6.8</v>
      </c>
      <c r="L21" s="7">
        <f>$B$2/5</f>
        <v>6.8</v>
      </c>
      <c r="M21" s="7">
        <f>$B$2/5</f>
        <v>6.8</v>
      </c>
      <c r="O21" s="7">
        <f>$B$2/5</f>
        <v>6.8</v>
      </c>
    </row>
    <row r="22" spans="3:15" x14ac:dyDescent="0.2">
      <c r="C22">
        <v>12</v>
      </c>
      <c r="D22" s="7">
        <f>B$2/5</f>
        <v>6.8</v>
      </c>
      <c r="E22" s="7">
        <f>$B$2/5</f>
        <v>6.8</v>
      </c>
      <c r="F22" s="7">
        <f>$B$2/5</f>
        <v>6.8</v>
      </c>
      <c r="G22" s="7">
        <f>$B$2/5</f>
        <v>6.8</v>
      </c>
      <c r="I22" s="7">
        <f>$B$2/5</f>
        <v>6.8</v>
      </c>
      <c r="J22" s="7">
        <f>$B$2/5</f>
        <v>6.8</v>
      </c>
      <c r="L22" s="7">
        <f>$B$2/5</f>
        <v>6.8</v>
      </c>
      <c r="M22" s="7">
        <f>$B$2/5</f>
        <v>6.8</v>
      </c>
      <c r="N22" s="7">
        <f>$B$2/5</f>
        <v>6.8</v>
      </c>
      <c r="O22" s="7">
        <f>$B$2/5</f>
        <v>6.8</v>
      </c>
    </row>
    <row r="23" spans="3:15" x14ac:dyDescent="0.2">
      <c r="C23">
        <v>13</v>
      </c>
      <c r="E23" s="7">
        <f>$B$2/5</f>
        <v>6.8</v>
      </c>
      <c r="F23" s="7">
        <f>$B$2/5</f>
        <v>6.8</v>
      </c>
      <c r="G23" s="7">
        <f>$B$2/5</f>
        <v>6.8</v>
      </c>
      <c r="I23" s="7">
        <f>$B$2/5</f>
        <v>6.8</v>
      </c>
      <c r="J23" s="7">
        <f>$B$2/5</f>
        <v>6.8</v>
      </c>
      <c r="K23" s="7">
        <f>$B$2/5</f>
        <v>6.8</v>
      </c>
      <c r="L23" s="7">
        <f>$B$2/5</f>
        <v>6.8</v>
      </c>
      <c r="N23" s="7">
        <f>$B$2/5</f>
        <v>6.8</v>
      </c>
      <c r="O23" s="7">
        <f>$B$2/5</f>
        <v>6.8</v>
      </c>
    </row>
    <row r="24" spans="3:15" x14ac:dyDescent="0.2">
      <c r="C24">
        <v>14</v>
      </c>
      <c r="E24" s="7">
        <f>$B$2/5</f>
        <v>6.8</v>
      </c>
      <c r="F24" s="7">
        <f>$B$2/5</f>
        <v>6.8</v>
      </c>
      <c r="H24" s="7">
        <f>$B$2/5</f>
        <v>6.8</v>
      </c>
      <c r="I24" s="7">
        <f>$B$2/5</f>
        <v>6.8</v>
      </c>
      <c r="K24" s="7">
        <f>$B$2/5</f>
        <v>6.8</v>
      </c>
      <c r="L24" s="7">
        <f>$B$2/5</f>
        <v>6.8</v>
      </c>
      <c r="N24" s="7">
        <f>$B$2/5</f>
        <v>6.8</v>
      </c>
      <c r="O24" s="7">
        <f>$B$2/5</f>
        <v>6.8</v>
      </c>
    </row>
    <row r="25" spans="3:15" x14ac:dyDescent="0.2">
      <c r="C25">
        <v>15</v>
      </c>
      <c r="D25" s="7">
        <f>B$2/5</f>
        <v>6.8</v>
      </c>
      <c r="E25" s="7">
        <f>$B$2/5</f>
        <v>6.8</v>
      </c>
      <c r="F25" s="7">
        <f>$B$2/5</f>
        <v>6.8</v>
      </c>
      <c r="H25" s="7">
        <f>$B$2/5</f>
        <v>6.8</v>
      </c>
      <c r="I25" s="7">
        <f>$B$2/5</f>
        <v>6.8</v>
      </c>
      <c r="K25" s="7">
        <f>$B$2/5</f>
        <v>6.8</v>
      </c>
      <c r="M25" s="7">
        <f>$B$2/5</f>
        <v>6.8</v>
      </c>
      <c r="N25" s="7">
        <f>$B$2/5</f>
        <v>6.8</v>
      </c>
      <c r="O25" s="7"/>
    </row>
    <row r="26" spans="3:15" x14ac:dyDescent="0.2">
      <c r="C26">
        <v>16</v>
      </c>
      <c r="D26" s="7">
        <f>B$2/5</f>
        <v>6.8</v>
      </c>
      <c r="E26" s="7">
        <f>$B$2/5</f>
        <v>6.8</v>
      </c>
      <c r="F26" s="7">
        <f>$B$2/5</f>
        <v>6.8</v>
      </c>
      <c r="G26" s="7">
        <f>$B$2/5</f>
        <v>6.8</v>
      </c>
      <c r="H26" s="7">
        <f>$B$2/5</f>
        <v>6.8</v>
      </c>
      <c r="J26" s="7">
        <f>$B$2/5</f>
        <v>6.8</v>
      </c>
      <c r="K26" s="7">
        <f>$B$2/5</f>
        <v>6.8</v>
      </c>
      <c r="M26" s="7">
        <f>$B$2/5</f>
        <v>6.8</v>
      </c>
      <c r="N26" s="7">
        <f>$B$2/5</f>
        <v>6.8</v>
      </c>
      <c r="O26" s="7"/>
    </row>
    <row r="27" spans="3:15" x14ac:dyDescent="0.2">
      <c r="C27">
        <v>17</v>
      </c>
      <c r="D27" s="7">
        <f>B$2/5</f>
        <v>6.8</v>
      </c>
      <c r="G27" s="7">
        <f>$B$2/5</f>
        <v>6.8</v>
      </c>
      <c r="H27" s="7">
        <f>$B$2/5</f>
        <v>6.8</v>
      </c>
      <c r="J27" s="7">
        <f>$B$2/5</f>
        <v>6.8</v>
      </c>
      <c r="K27" s="7">
        <f>$B$2/5</f>
        <v>6.8</v>
      </c>
      <c r="L27" s="7">
        <f>$B$2/5</f>
        <v>6.8</v>
      </c>
      <c r="M27" s="7">
        <f>$B$2/5</f>
        <v>6.8</v>
      </c>
      <c r="O27" s="7">
        <f>$B$2/5</f>
        <v>6.8</v>
      </c>
    </row>
    <row r="28" spans="3:15" x14ac:dyDescent="0.2">
      <c r="C28">
        <v>18</v>
      </c>
      <c r="D28" s="7">
        <f>B$2/5</f>
        <v>6.8</v>
      </c>
      <c r="G28" s="7">
        <f>$B$2/5</f>
        <v>6.8</v>
      </c>
      <c r="H28" s="7">
        <f>$B$2/5</f>
        <v>6.8</v>
      </c>
      <c r="I28" s="7">
        <f>$B$2/5</f>
        <v>6.8</v>
      </c>
      <c r="J28" s="7">
        <f>$B$2/5</f>
        <v>6.8</v>
      </c>
      <c r="L28" s="7">
        <f>$B$2/5</f>
        <v>6.8</v>
      </c>
      <c r="M28" s="7">
        <f>$B$2/5</f>
        <v>6.8</v>
      </c>
      <c r="O28" s="7">
        <f>$B$2/5</f>
        <v>6.8</v>
      </c>
    </row>
    <row r="29" spans="3:15" x14ac:dyDescent="0.2">
      <c r="C29">
        <v>19</v>
      </c>
      <c r="D29" s="7">
        <f>B$2/5</f>
        <v>6.8</v>
      </c>
      <c r="E29" s="7">
        <f>$B$2/5</f>
        <v>6.8</v>
      </c>
      <c r="F29" s="7">
        <f>$B$2/5</f>
        <v>6.8</v>
      </c>
      <c r="G29" s="7">
        <f>$B$2/5</f>
        <v>6.8</v>
      </c>
      <c r="I29" s="7">
        <f>$B$2/5</f>
        <v>6.8</v>
      </c>
      <c r="J29" s="7">
        <f>$B$2/5</f>
        <v>6.8</v>
      </c>
      <c r="L29" s="7">
        <f>$B$2/5</f>
        <v>6.8</v>
      </c>
      <c r="M29" s="7">
        <f>$B$2/5</f>
        <v>6.8</v>
      </c>
      <c r="N29" s="7">
        <f>$B$2/5</f>
        <v>6.8</v>
      </c>
      <c r="O29" s="7">
        <f>$B$2/5</f>
        <v>6.8</v>
      </c>
    </row>
    <row r="30" spans="3:15" x14ac:dyDescent="0.2">
      <c r="C30">
        <v>20</v>
      </c>
      <c r="E30" s="7">
        <f>$B$2/5</f>
        <v>6.8</v>
      </c>
      <c r="F30" s="7">
        <f>$B$2/5</f>
        <v>6.8</v>
      </c>
      <c r="G30" s="7">
        <f>$B$2/5</f>
        <v>6.8</v>
      </c>
      <c r="I30" s="7">
        <f>$B$2/5</f>
        <v>6.8</v>
      </c>
      <c r="J30" s="7">
        <f>$B$2/5</f>
        <v>6.8</v>
      </c>
      <c r="K30" s="7">
        <f>$B$2/5</f>
        <v>6.8</v>
      </c>
      <c r="L30" s="7">
        <f>$B$2/5</f>
        <v>6.8</v>
      </c>
      <c r="N30" s="7">
        <f>$B$2/5</f>
        <v>6.8</v>
      </c>
      <c r="O30" s="7">
        <f>$B$2/5</f>
        <v>6.8</v>
      </c>
    </row>
    <row r="31" spans="3:15" x14ac:dyDescent="0.2">
      <c r="C31">
        <v>21</v>
      </c>
      <c r="E31" s="7">
        <f>$B$2/5</f>
        <v>6.8</v>
      </c>
      <c r="F31" s="7">
        <f>$B$2/5</f>
        <v>6.8</v>
      </c>
      <c r="H31" s="7">
        <f>$B$2/5</f>
        <v>6.8</v>
      </c>
      <c r="I31" s="7">
        <f>$B$2/5</f>
        <v>6.8</v>
      </c>
      <c r="K31" s="7">
        <f>$B$2/5</f>
        <v>6.8</v>
      </c>
      <c r="L31" s="7">
        <f>$B$2/5</f>
        <v>6.8</v>
      </c>
      <c r="N31" s="7">
        <f>$B$2/5</f>
        <v>6.8</v>
      </c>
      <c r="O31" s="7">
        <f>$B$2/5</f>
        <v>6.8</v>
      </c>
    </row>
    <row r="32" spans="3:15" x14ac:dyDescent="0.2">
      <c r="C32">
        <v>22</v>
      </c>
      <c r="D32" s="7">
        <f>B$2/5</f>
        <v>6.8</v>
      </c>
      <c r="E32" s="7">
        <f>$B$2/5</f>
        <v>6.8</v>
      </c>
      <c r="F32" s="7">
        <f>$B$2/5</f>
        <v>6.8</v>
      </c>
      <c r="H32" s="7">
        <f>$B$2/5</f>
        <v>6.8</v>
      </c>
      <c r="I32" s="7">
        <f>$B$2/5</f>
        <v>6.8</v>
      </c>
      <c r="K32" s="7">
        <f>$B$2/5</f>
        <v>6.8</v>
      </c>
      <c r="M32" s="7">
        <f>$B$2/5</f>
        <v>6.8</v>
      </c>
      <c r="N32" s="7">
        <f>$B$2/5</f>
        <v>6.8</v>
      </c>
      <c r="O32" s="7"/>
    </row>
    <row r="33" spans="3:18" x14ac:dyDescent="0.2">
      <c r="C33">
        <v>23</v>
      </c>
      <c r="D33" s="7">
        <f>B$2/5</f>
        <v>6.8</v>
      </c>
      <c r="E33" s="7">
        <f>$B$2/5</f>
        <v>6.8</v>
      </c>
      <c r="F33" s="7">
        <f>$B$2/5</f>
        <v>6.8</v>
      </c>
      <c r="G33" s="7">
        <f>$B$2/5</f>
        <v>6.8</v>
      </c>
      <c r="H33" s="7">
        <f>$B$2/5</f>
        <v>6.8</v>
      </c>
      <c r="J33" s="7">
        <f>$B$2/5</f>
        <v>6.8</v>
      </c>
      <c r="K33" s="7">
        <f>$B$2/5</f>
        <v>6.8</v>
      </c>
      <c r="M33" s="7">
        <f>$B$2/5</f>
        <v>6.8</v>
      </c>
      <c r="N33" s="7">
        <f>$B$2/5</f>
        <v>6.8</v>
      </c>
      <c r="O33" s="7"/>
    </row>
    <row r="34" spans="3:18" x14ac:dyDescent="0.2">
      <c r="C34">
        <v>24</v>
      </c>
      <c r="D34" s="7">
        <f>B$2/5</f>
        <v>6.8</v>
      </c>
      <c r="G34" s="7">
        <f>$B$2/5</f>
        <v>6.8</v>
      </c>
      <c r="H34" s="7">
        <f>$B$2/5</f>
        <v>6.8</v>
      </c>
      <c r="J34" s="7">
        <f>$B$2/5</f>
        <v>6.8</v>
      </c>
      <c r="K34" s="7">
        <f>$B$2/5</f>
        <v>6.8</v>
      </c>
      <c r="L34" s="7">
        <f>$B$2/5</f>
        <v>6.8</v>
      </c>
      <c r="M34" s="7">
        <f>$B$2/5</f>
        <v>6.8</v>
      </c>
      <c r="O34" s="7">
        <f>$B$2/5</f>
        <v>6.8</v>
      </c>
    </row>
    <row r="35" spans="3:18" x14ac:dyDescent="0.2">
      <c r="C35">
        <v>25</v>
      </c>
      <c r="D35" s="7">
        <f>B$2/5</f>
        <v>6.8</v>
      </c>
      <c r="G35" s="7">
        <f>$B$2/5</f>
        <v>6.8</v>
      </c>
      <c r="H35" s="7">
        <f>$B$2/5</f>
        <v>6.8</v>
      </c>
      <c r="I35" s="7">
        <f>$B$2/5</f>
        <v>6.8</v>
      </c>
      <c r="J35" s="7">
        <f>$B$2/5</f>
        <v>6.8</v>
      </c>
      <c r="L35" s="7">
        <f>$B$2/5</f>
        <v>6.8</v>
      </c>
      <c r="M35" s="7">
        <f>$B$2/5</f>
        <v>6.8</v>
      </c>
      <c r="O35" s="7">
        <f>$B$2/5</f>
        <v>6.8</v>
      </c>
    </row>
    <row r="36" spans="3:18" x14ac:dyDescent="0.2">
      <c r="C36">
        <v>26</v>
      </c>
      <c r="D36" s="7">
        <f>B$2/5</f>
        <v>6.8</v>
      </c>
      <c r="E36" s="7">
        <f>$B$2/5</f>
        <v>6.8</v>
      </c>
      <c r="F36" s="7">
        <f>$B$2/5</f>
        <v>6.8</v>
      </c>
      <c r="G36" s="7">
        <f>$B$2/5</f>
        <v>6.8</v>
      </c>
      <c r="I36" s="7">
        <f>$B$2/5</f>
        <v>6.8</v>
      </c>
      <c r="J36" s="7">
        <f>$B$2/5</f>
        <v>6.8</v>
      </c>
      <c r="L36" s="7">
        <f>$B$2/5</f>
        <v>6.8</v>
      </c>
      <c r="M36" s="7">
        <f>$B$2/5</f>
        <v>6.8</v>
      </c>
      <c r="N36" s="7">
        <f>$B$2/5</f>
        <v>6.8</v>
      </c>
      <c r="O36" s="7">
        <f>$B$2/5</f>
        <v>6.8</v>
      </c>
    </row>
    <row r="37" spans="3:18" x14ac:dyDescent="0.2">
      <c r="C37">
        <v>27</v>
      </c>
      <c r="E37" s="7">
        <f>$B$2/5</f>
        <v>6.8</v>
      </c>
      <c r="F37" s="7">
        <f>$B$2/5</f>
        <v>6.8</v>
      </c>
      <c r="G37" s="7">
        <f>$B$2/5</f>
        <v>6.8</v>
      </c>
      <c r="I37" s="7">
        <f>$B$2/5</f>
        <v>6.8</v>
      </c>
      <c r="J37" s="7">
        <f>$B$2/5</f>
        <v>6.8</v>
      </c>
      <c r="K37" s="7">
        <f>$B$2/5</f>
        <v>6.8</v>
      </c>
      <c r="L37" s="7">
        <f>$B$2/5</f>
        <v>6.8</v>
      </c>
      <c r="N37" s="7">
        <f>$B$2/5</f>
        <v>6.8</v>
      </c>
      <c r="O37" s="7">
        <f>$B$2/5</f>
        <v>6.8</v>
      </c>
    </row>
    <row r="38" spans="3:18" x14ac:dyDescent="0.2">
      <c r="C38">
        <v>28</v>
      </c>
      <c r="E38" s="7">
        <f>$B$2/5</f>
        <v>6.8</v>
      </c>
      <c r="F38" s="7">
        <f>$B$2/5</f>
        <v>6.8</v>
      </c>
      <c r="H38" s="7">
        <f>$B$2/5</f>
        <v>6.8</v>
      </c>
      <c r="I38" s="7">
        <f>$B$2/5</f>
        <v>6.8</v>
      </c>
      <c r="K38" s="7">
        <f>$B$2/5</f>
        <v>6.8</v>
      </c>
      <c r="L38" s="7">
        <f>$B$2/5</f>
        <v>6.8</v>
      </c>
      <c r="N38" s="7">
        <f>$B$2/5</f>
        <v>6.8</v>
      </c>
      <c r="O38" s="7">
        <f>$B$2/5</f>
        <v>6.8</v>
      </c>
    </row>
    <row r="39" spans="3:18" x14ac:dyDescent="0.2">
      <c r="C39">
        <v>29</v>
      </c>
      <c r="D39" s="7">
        <f>B$2/5</f>
        <v>6.8</v>
      </c>
      <c r="E39" s="8"/>
      <c r="F39" s="7">
        <f>$B$2/5</f>
        <v>6.8</v>
      </c>
      <c r="H39" s="7">
        <f>$B$2/5</f>
        <v>6.8</v>
      </c>
      <c r="I39" s="7">
        <f>$B$2/5</f>
        <v>6.8</v>
      </c>
      <c r="K39" s="7">
        <f>$B$2/5</f>
        <v>6.8</v>
      </c>
      <c r="M39" s="7">
        <f>$B$2/5</f>
        <v>6.8</v>
      </c>
      <c r="N39" s="7">
        <f>$B$2/5</f>
        <v>6.8</v>
      </c>
      <c r="O39" s="7"/>
    </row>
    <row r="40" spans="3:18" x14ac:dyDescent="0.2">
      <c r="C40">
        <v>30</v>
      </c>
      <c r="D40" s="7">
        <f>B$2/5</f>
        <v>6.8</v>
      </c>
      <c r="E40" s="8"/>
      <c r="F40" s="7">
        <f>$B$2/5</f>
        <v>6.8</v>
      </c>
      <c r="G40" s="7">
        <f>$B$2/5</f>
        <v>6.8</v>
      </c>
      <c r="H40" s="7">
        <f>$B$2/5</f>
        <v>6.8</v>
      </c>
      <c r="J40" s="7">
        <f>$B$2/5</f>
        <v>6.8</v>
      </c>
      <c r="K40" s="7">
        <f>$B$2/5</f>
        <v>6.8</v>
      </c>
      <c r="M40" s="7">
        <f>$B$2/5</f>
        <v>6.8</v>
      </c>
      <c r="N40" s="7">
        <f>$B$2/5</f>
        <v>6.8</v>
      </c>
      <c r="O40" s="7"/>
    </row>
    <row r="41" spans="3:18" x14ac:dyDescent="0.2">
      <c r="C41">
        <v>31</v>
      </c>
      <c r="D41" s="7">
        <f>B$2/5</f>
        <v>6.8</v>
      </c>
      <c r="E41" s="9"/>
      <c r="G41" s="8"/>
      <c r="H41" s="7">
        <f>$B$2/5</f>
        <v>6.8</v>
      </c>
      <c r="I41" s="9"/>
      <c r="J41" s="7">
        <f>$B$2/5</f>
        <v>6.8</v>
      </c>
      <c r="K41" s="7">
        <f>$B$2/5</f>
        <v>6.8</v>
      </c>
      <c r="L41" s="9"/>
      <c r="M41" s="7">
        <f>$B$2/5</f>
        <v>6.8</v>
      </c>
      <c r="N41" s="9"/>
      <c r="O41" s="7">
        <f>$B$2/5</f>
        <v>6.8</v>
      </c>
    </row>
    <row r="42" spans="3:18" x14ac:dyDescent="0.2">
      <c r="D42" s="7">
        <f>SUM(D11:D41)</f>
        <v>156.4</v>
      </c>
      <c r="E42" s="7">
        <f>SUM(E11:E41)</f>
        <v>135.99999999999997</v>
      </c>
      <c r="F42" s="7">
        <f>SUM(F11:F41)</f>
        <v>149.6</v>
      </c>
      <c r="G42" s="7">
        <f>SUM(G11:G41)</f>
        <v>142.79999999999998</v>
      </c>
      <c r="H42" s="7">
        <f>SUM(H11:H41)</f>
        <v>156.4</v>
      </c>
      <c r="I42" s="7">
        <f>SUM(I11:I41)</f>
        <v>142.79999999999998</v>
      </c>
      <c r="J42" s="7">
        <f>SUM(J11:J41)</f>
        <v>149.6</v>
      </c>
      <c r="K42" s="7">
        <f>SUM(K11:K41)</f>
        <v>156.4</v>
      </c>
      <c r="L42" s="7">
        <f>SUM(L11:L41)</f>
        <v>135.99999999999997</v>
      </c>
      <c r="M42" s="7">
        <f>SUM(M11:M41)</f>
        <v>156.4</v>
      </c>
      <c r="N42" s="7">
        <f>SUM(N11:N41)</f>
        <v>149.6</v>
      </c>
      <c r="O42" s="7">
        <f>SUM(O11:O41)</f>
        <v>142.79999999999998</v>
      </c>
      <c r="P42" s="7">
        <f>SUM(D42:O42)</f>
        <v>1774.8</v>
      </c>
      <c r="R42" s="7">
        <f>P42-P6</f>
        <v>1.9428571428572923</v>
      </c>
    </row>
    <row r="43" spans="3:18" x14ac:dyDescent="0.2">
      <c r="G43" s="7"/>
      <c r="M43" s="7"/>
      <c r="O43" s="7"/>
    </row>
    <row r="44" spans="3:18" x14ac:dyDescent="0.2">
      <c r="G44" s="7"/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Schaub</dc:creator>
  <cp:lastModifiedBy>Walter Schaub</cp:lastModifiedBy>
  <dcterms:created xsi:type="dcterms:W3CDTF">2026-05-30T15:20:25Z</dcterms:created>
  <dcterms:modified xsi:type="dcterms:W3CDTF">2026-05-31T10:23:31Z</dcterms:modified>
</cp:coreProperties>
</file>