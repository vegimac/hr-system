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lter/Downloads/"/>
    </mc:Choice>
  </mc:AlternateContent>
  <xr:revisionPtr revIDLastSave="0" documentId="8_{839B7D0D-EEB8-404D-833E-08D513B39A3C}" xr6:coauthVersionLast="47" xr6:coauthVersionMax="47" xr10:uidLastSave="{00000000-0000-0000-0000-000000000000}"/>
  <bookViews>
    <workbookView xWindow="5340" yWindow="6660" windowWidth="28240" windowHeight="17240" xr2:uid="{FC095634-AB31-7548-B233-6227A6D7189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H3" i="1"/>
  <c r="D10" i="1"/>
  <c r="D5" i="1"/>
  <c r="C7" i="1"/>
  <c r="F5" i="1"/>
  <c r="F4" i="1"/>
  <c r="F3" i="1"/>
  <c r="D6" i="1"/>
  <c r="D7" i="1" s="1"/>
  <c r="D3" i="1"/>
  <c r="C6" i="1"/>
  <c r="C5" i="1"/>
  <c r="C4" i="1"/>
  <c r="D8" i="1" l="1"/>
  <c r="F7" i="1"/>
  <c r="F8" i="1" s="1"/>
  <c r="C8" i="1"/>
  <c r="E9" i="1" l="1"/>
</calcChain>
</file>

<file path=xl/sharedStrings.xml><?xml version="1.0" encoding="utf-8"?>
<sst xmlns="http://schemas.openxmlformats.org/spreadsheetml/2006/main" count="9" uniqueCount="8">
  <si>
    <t>netto</t>
  </si>
  <si>
    <t>stunden</t>
  </si>
  <si>
    <t>ferien</t>
  </si>
  <si>
    <t>Feiertag</t>
  </si>
  <si>
    <t>13. Monatslohn</t>
  </si>
  <si>
    <t>MTP</t>
  </si>
  <si>
    <t>Plus Std</t>
  </si>
  <si>
    <t>saldo Ferien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</si>
</sst>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 2013–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60F8-477B-5043-A24D-F6DBF1C823C3}">
  <dimension ref="A1:H10"/>
  <sheetViews>
    <sheetView tabSelected="1" workbookViewId="0">
      <selection activeCell="H6" sqref="H6"/>
    </sheetView>
  </sheetViews>
  <sheetFormatPr baseColWidth="10" defaultRowHeight="16" x14ac:dyDescent="0.2"/>
  <cols>
    <col min="1" max="1" width="14.83203125" customWidth="1"/>
    <col min="5" max="5" width="13.1640625" customWidth="1"/>
  </cols>
  <sheetData>
    <row r="1" spans="1:8" x14ac:dyDescent="0.2">
      <c r="B1" t="s">
        <v>5</v>
      </c>
    </row>
    <row r="2" spans="1:8" x14ac:dyDescent="0.2">
      <c r="B2" t="s">
        <v>1</v>
      </c>
      <c r="C2">
        <v>91</v>
      </c>
      <c r="D2" t="s">
        <v>6</v>
      </c>
      <c r="E2">
        <v>7.35</v>
      </c>
    </row>
    <row r="3" spans="1:8" x14ac:dyDescent="0.2">
      <c r="A3" t="s">
        <v>0</v>
      </c>
      <c r="C3" s="1">
        <v>20.399999999999999</v>
      </c>
      <c r="D3" s="1">
        <f>$C3*C2</f>
        <v>1856.3999999999999</v>
      </c>
      <c r="E3" s="1"/>
      <c r="F3" s="1">
        <f>$C3*E2</f>
        <v>149.93999999999997</v>
      </c>
      <c r="H3" s="1">
        <f>SUM(D3:F3)</f>
        <v>2006.34</v>
      </c>
    </row>
    <row r="4" spans="1:8" x14ac:dyDescent="0.2">
      <c r="A4" t="s">
        <v>2</v>
      </c>
      <c r="B4" s="2">
        <v>0.1065</v>
      </c>
      <c r="C4" s="1">
        <f>C3*B4</f>
        <v>2.1725999999999996</v>
      </c>
      <c r="D4" s="1"/>
      <c r="E4" s="1"/>
      <c r="F4" s="1">
        <f>$C4*E2</f>
        <v>15.968609999999996</v>
      </c>
    </row>
    <row r="5" spans="1:8" x14ac:dyDescent="0.2">
      <c r="A5" t="s">
        <v>3</v>
      </c>
      <c r="B5" s="2">
        <v>2.2700000000000001E-2</v>
      </c>
      <c r="C5" s="1">
        <f>C3*B5</f>
        <v>0.46307999999999999</v>
      </c>
      <c r="D5" s="1">
        <f>C2*$C5</f>
        <v>42.140279999999997</v>
      </c>
      <c r="E5" s="1"/>
      <c r="F5" s="1">
        <f>E2*$C5</f>
        <v>3.4036379999999999</v>
      </c>
    </row>
    <row r="6" spans="1:8" x14ac:dyDescent="0.2">
      <c r="A6" t="s">
        <v>0</v>
      </c>
      <c r="B6" s="1"/>
      <c r="C6" s="1">
        <f>SUM(C3:C5)</f>
        <v>23.035679999999999</v>
      </c>
      <c r="D6" s="1">
        <f>SUM(D3:D5)</f>
        <v>1898.5402799999999</v>
      </c>
      <c r="E6" s="1"/>
      <c r="F6" s="1">
        <f>SUM(F3:F5)</f>
        <v>169.31224799999995</v>
      </c>
      <c r="H6" s="1">
        <f>SUM(D6:F6)</f>
        <v>2067.8525279999999</v>
      </c>
    </row>
    <row r="7" spans="1:8" x14ac:dyDescent="0.2">
      <c r="A7" t="s">
        <v>4</v>
      </c>
      <c r="B7" s="2">
        <v>8.3299999999999999E-2</v>
      </c>
      <c r="C7" s="1">
        <f>C6*$B7</f>
        <v>1.9188721439999998</v>
      </c>
      <c r="D7" s="1">
        <f>D6*$B7</f>
        <v>158.14840532399998</v>
      </c>
      <c r="E7" s="1"/>
      <c r="F7" s="1">
        <f>F6*$B7</f>
        <v>14.103710258399996</v>
      </c>
    </row>
    <row r="8" spans="1:8" x14ac:dyDescent="0.2">
      <c r="B8" s="1"/>
      <c r="C8" s="1">
        <f>C6+C7</f>
        <v>24.954552143999997</v>
      </c>
      <c r="D8" s="1">
        <f>D6+D7-D10</f>
        <v>2040.7200753239999</v>
      </c>
      <c r="E8" s="1"/>
      <c r="F8" s="1">
        <f>F6+F7-F4</f>
        <v>167.44734825839996</v>
      </c>
    </row>
    <row r="9" spans="1:8" x14ac:dyDescent="0.2">
      <c r="E9" s="1">
        <f>D8+F8</f>
        <v>2208.1674235823998</v>
      </c>
    </row>
    <row r="10" spans="1:8" x14ac:dyDescent="0.2">
      <c r="C10" t="s">
        <v>7</v>
      </c>
      <c r="D10" s="1">
        <f>F4</f>
        <v>15.968609999999996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Schaub</dc:creator>
  <cp:lastModifiedBy>Walter Schaub</cp:lastModifiedBy>
  <dcterms:created xsi:type="dcterms:W3CDTF">2026-04-18T16:15:15Z</dcterms:created>
  <dcterms:modified xsi:type="dcterms:W3CDTF">2026-04-18T19:31:56Z</dcterms:modified>
</cp:coreProperties>
</file>